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Marcus\Downloads\"/>
    </mc:Choice>
  </mc:AlternateContent>
  <xr:revisionPtr revIDLastSave="0" documentId="13_ncr:1_{BCA81E5E-CD1A-4F82-B03A-EB5C9538B6DA}" xr6:coauthVersionLast="47" xr6:coauthVersionMax="47" xr10:uidLastSave="{00000000-0000-0000-0000-000000000000}"/>
  <bookViews>
    <workbookView xWindow="-120" yWindow="-120" windowWidth="27960" windowHeight="14100" xr2:uid="{FF443E6F-31E7-497E-86E6-608EB063DFAF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15" i="1" l="1"/>
  <c r="N14" i="1"/>
  <c r="P14" i="1"/>
  <c r="P15" i="1"/>
  <c r="M15" i="1"/>
  <c r="O15" i="1" s="1"/>
  <c r="M14" i="1"/>
  <c r="O14" i="1" s="1"/>
  <c r="P12" i="1"/>
  <c r="P13" i="1"/>
  <c r="P11" i="1"/>
  <c r="P10" i="1"/>
  <c r="P9" i="1"/>
  <c r="P7" i="1"/>
  <c r="P8" i="1"/>
  <c r="P6" i="1"/>
  <c r="P5" i="1"/>
  <c r="P4" i="1"/>
  <c r="N12" i="1"/>
  <c r="N13" i="1"/>
  <c r="N11" i="1"/>
  <c r="N10" i="1"/>
  <c r="N9" i="1"/>
  <c r="N8" i="1"/>
  <c r="N7" i="1"/>
  <c r="N6" i="1"/>
  <c r="N5" i="1"/>
  <c r="N4" i="1"/>
  <c r="M13" i="1"/>
  <c r="O13" i="1" s="1"/>
  <c r="M12" i="1"/>
  <c r="O12" i="1" s="1"/>
  <c r="M11" i="1"/>
  <c r="O11" i="1" s="1"/>
  <c r="M10" i="1"/>
  <c r="O10" i="1" s="1"/>
  <c r="M9" i="1"/>
  <c r="O9" i="1" s="1"/>
  <c r="M8" i="1"/>
  <c r="O8" i="1" s="1"/>
  <c r="M7" i="1"/>
  <c r="O7" i="1" s="1"/>
  <c r="M5" i="1"/>
  <c r="O5" i="1" s="1"/>
  <c r="M4" i="1"/>
  <c r="O4" i="1" s="1"/>
  <c r="M6" i="1"/>
  <c r="O6" i="1" s="1"/>
  <c r="AA10" i="1"/>
  <c r="AA9" i="1"/>
  <c r="AA8" i="1"/>
  <c r="AA7" i="1"/>
  <c r="AA6" i="1"/>
  <c r="AA5" i="1"/>
  <c r="AA4" i="1"/>
</calcChain>
</file>

<file path=xl/sharedStrings.xml><?xml version="1.0" encoding="utf-8"?>
<sst xmlns="http://schemas.openxmlformats.org/spreadsheetml/2006/main" count="98" uniqueCount="57">
  <si>
    <t>Rede</t>
  </si>
  <si>
    <t>Rede 1</t>
  </si>
  <si>
    <t>Hosts</t>
  </si>
  <si>
    <t>Rede 10</t>
  </si>
  <si>
    <t>Rede 5</t>
  </si>
  <si>
    <t>Rede 6</t>
  </si>
  <si>
    <t>Rede 7</t>
  </si>
  <si>
    <t>Rede 8</t>
  </si>
  <si>
    <t>Rede 9</t>
  </si>
  <si>
    <t>Rede 2</t>
  </si>
  <si>
    <t>Rede 3</t>
  </si>
  <si>
    <t>Rede 4</t>
  </si>
  <si>
    <t>N = 1</t>
  </si>
  <si>
    <t>N = 2</t>
  </si>
  <si>
    <t>N = 3</t>
  </si>
  <si>
    <t>N = 4</t>
  </si>
  <si>
    <t>N = 5</t>
  </si>
  <si>
    <t>N = 6</t>
  </si>
  <si>
    <t>N = 7</t>
  </si>
  <si>
    <t>Máscara</t>
  </si>
  <si>
    <t>Fator</t>
  </si>
  <si>
    <t>Prefixo</t>
  </si>
  <si>
    <t>Sub-rede</t>
  </si>
  <si>
    <t>R</t>
  </si>
  <si>
    <t>B</t>
  </si>
  <si>
    <t>Quantidade de Hosts Válidos</t>
  </si>
  <si>
    <t>1º Endereço de Host</t>
  </si>
  <si>
    <t>Último de Host Válido</t>
  </si>
  <si>
    <t>Endereço Broadcasting</t>
  </si>
  <si>
    <t>Prefixo de Rede</t>
  </si>
  <si>
    <t>192.168.150.1</t>
  </si>
  <si>
    <t>192.168.150.0</t>
  </si>
  <si>
    <t>192.168.150.63</t>
  </si>
  <si>
    <t>192.168.150.62</t>
  </si>
  <si>
    <t>/26</t>
  </si>
  <si>
    <t>192.168.150.64</t>
  </si>
  <si>
    <t>192.168.150.65</t>
  </si>
  <si>
    <t>/27</t>
  </si>
  <si>
    <t>/28</t>
  </si>
  <si>
    <t>/29</t>
  </si>
  <si>
    <r>
      <t>Nº de Sub-redes = 2</t>
    </r>
    <r>
      <rPr>
        <vertAlign val="superscript"/>
        <sz val="11"/>
        <color theme="1"/>
        <rFont val="Arial"/>
        <family val="2"/>
      </rPr>
      <t>n</t>
    </r>
    <r>
      <rPr>
        <sz val="11"/>
        <color theme="1"/>
        <rFont val="Arial"/>
        <family val="2"/>
      </rPr>
      <t>- 2</t>
    </r>
  </si>
  <si>
    <r>
      <t>2</t>
    </r>
    <r>
      <rPr>
        <vertAlign val="superscript"/>
        <sz val="11"/>
        <color theme="1"/>
        <rFont val="Arial"/>
        <family val="2"/>
      </rPr>
      <t>1</t>
    </r>
    <r>
      <rPr>
        <sz val="11"/>
        <color theme="1"/>
        <rFont val="Arial"/>
        <family val="2"/>
      </rPr>
      <t>-2</t>
    </r>
  </si>
  <si>
    <r>
      <t>2</t>
    </r>
    <r>
      <rPr>
        <vertAlign val="superscript"/>
        <sz val="11"/>
        <color theme="1"/>
        <rFont val="Arial"/>
        <family val="2"/>
      </rPr>
      <t>2</t>
    </r>
    <r>
      <rPr>
        <sz val="11"/>
        <color theme="1"/>
        <rFont val="Arial"/>
        <family val="2"/>
      </rPr>
      <t>-2</t>
    </r>
  </si>
  <si>
    <r>
      <t>2</t>
    </r>
    <r>
      <rPr>
        <vertAlign val="superscript"/>
        <sz val="11"/>
        <color theme="1"/>
        <rFont val="Arial"/>
        <family val="2"/>
      </rPr>
      <t>3</t>
    </r>
    <r>
      <rPr>
        <sz val="11"/>
        <color theme="1"/>
        <rFont val="Arial"/>
        <family val="2"/>
      </rPr>
      <t>-2</t>
    </r>
  </si>
  <si>
    <r>
      <t>2</t>
    </r>
    <r>
      <rPr>
        <vertAlign val="superscript"/>
        <sz val="11"/>
        <color theme="1"/>
        <rFont val="Arial"/>
        <family val="2"/>
      </rPr>
      <t>4</t>
    </r>
    <r>
      <rPr>
        <sz val="11"/>
        <color theme="1"/>
        <rFont val="Arial"/>
        <family val="2"/>
      </rPr>
      <t>-2</t>
    </r>
  </si>
  <si>
    <r>
      <t>2</t>
    </r>
    <r>
      <rPr>
        <vertAlign val="superscript"/>
        <sz val="11"/>
        <color theme="1"/>
        <rFont val="Arial"/>
        <family val="2"/>
      </rPr>
      <t>5</t>
    </r>
    <r>
      <rPr>
        <sz val="11"/>
        <color theme="1"/>
        <rFont val="Arial"/>
        <family val="2"/>
      </rPr>
      <t>-2</t>
    </r>
  </si>
  <si>
    <r>
      <t>2</t>
    </r>
    <r>
      <rPr>
        <vertAlign val="superscript"/>
        <sz val="11"/>
        <color theme="1"/>
        <rFont val="Arial"/>
        <family val="2"/>
      </rPr>
      <t>6</t>
    </r>
    <r>
      <rPr>
        <sz val="11"/>
        <color theme="1"/>
        <rFont val="Arial"/>
        <family val="2"/>
      </rPr>
      <t>-2</t>
    </r>
  </si>
  <si>
    <r>
      <t>2</t>
    </r>
    <r>
      <rPr>
        <vertAlign val="superscript"/>
        <sz val="11"/>
        <color theme="1"/>
        <rFont val="Arial"/>
        <family val="2"/>
      </rPr>
      <t>7</t>
    </r>
    <r>
      <rPr>
        <sz val="11"/>
        <color theme="1"/>
        <rFont val="Arial"/>
        <family val="2"/>
      </rPr>
      <t>-2</t>
    </r>
  </si>
  <si>
    <t>Rede 192.168.150.0/24</t>
  </si>
  <si>
    <t>Endereço de Sub-redes</t>
  </si>
  <si>
    <t>/30</t>
  </si>
  <si>
    <t>Rede A</t>
  </si>
  <si>
    <t>Rede B</t>
  </si>
  <si>
    <t>192.168.150.95</t>
  </si>
  <si>
    <t>192.168.150.94</t>
  </si>
  <si>
    <t>192.168.150.96</t>
  </si>
  <si>
    <t>192.168.150.97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</si>
</sst>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rial"/>
      <family val="2"/>
    </font>
    <font>
      <vertAlign val="superscript"/>
      <sz val="11"/>
      <color theme="1"/>
      <name val="Arial"/>
      <family val="2"/>
    </font>
    <font>
      <u/>
      <sz val="11"/>
      <color theme="1"/>
      <name val="Aptos Narrow"/>
      <family val="2"/>
      <scheme val="minor"/>
    </font>
    <font>
      <b/>
      <sz val="11"/>
      <color theme="1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CC"/>
        <bgColor indexed="64"/>
      </patternFill>
    </fill>
  </fills>
  <borders count="2">
    <border>
      <left/>
      <right/>
      <top/>
      <bottom/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vertical="center" wrapText="1"/>
    </xf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vertical="center"/>
    </xf>
    <xf numFmtId="0" fontId="4" fillId="0" borderId="0" xfId="0" applyFont="1"/>
    <xf numFmtId="0" fontId="2" fillId="2" borderId="1" xfId="0" applyFont="1" applyFill="1" applyBorder="1" applyAlignment="1">
      <alignment horizontal="left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2" fillId="8" borderId="1" xfId="0" applyFont="1" applyFill="1" applyBorder="1" applyAlignment="1">
      <alignment horizontal="left" vertical="center" wrapText="1"/>
    </xf>
    <xf numFmtId="0" fontId="2" fillId="9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10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11" borderId="1" xfId="0" applyFont="1" applyFill="1" applyBorder="1" applyAlignment="1">
      <alignment horizontal="left" vertical="center" wrapText="1"/>
    </xf>
    <xf numFmtId="0" fontId="2" fillId="12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vertical="center"/>
    </xf>
    <xf numFmtId="0" fontId="2" fillId="14" borderId="1" xfId="0" applyFont="1" applyFill="1" applyBorder="1" applyAlignment="1">
      <alignment vertical="center"/>
    </xf>
    <xf numFmtId="0" fontId="2" fillId="6" borderId="1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49" fontId="2" fillId="6" borderId="1" xfId="0" applyNumberFormat="1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horizontal="center" vertical="center"/>
    </xf>
    <xf numFmtId="3" fontId="2" fillId="6" borderId="1" xfId="0" applyNumberFormat="1" applyFont="1" applyFill="1" applyBorder="1" applyAlignment="1">
      <alignment horizontal="center" vertical="center"/>
    </xf>
    <xf numFmtId="0" fontId="2" fillId="6" borderId="1" xfId="0" applyNumberFormat="1" applyFont="1" applyFill="1" applyBorder="1" applyAlignment="1">
      <alignment horizontal="center" vertical="center"/>
    </xf>
    <xf numFmtId="3" fontId="2" fillId="14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3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3" fontId="2" fillId="7" borderId="1" xfId="0" applyNumberFormat="1" applyFont="1" applyFill="1" applyBorder="1" applyAlignment="1">
      <alignment horizontal="center" vertical="center"/>
    </xf>
    <xf numFmtId="3" fontId="2" fillId="9" borderId="1" xfId="0" applyNumberFormat="1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3" fontId="2" fillId="5" borderId="1" xfId="0" applyNumberFormat="1" applyFont="1" applyFill="1" applyBorder="1" applyAlignment="1">
      <alignment horizontal="center" vertical="center"/>
    </xf>
    <xf numFmtId="3" fontId="2" fillId="12" borderId="1" xfId="0" applyNumberFormat="1" applyFont="1" applyFill="1" applyBorder="1" applyAlignment="1">
      <alignment horizontal="center" vertical="center"/>
    </xf>
    <xf numFmtId="0" fontId="5" fillId="16" borderId="1" xfId="0" applyFont="1" applyFill="1" applyBorder="1" applyAlignment="1">
      <alignment horizontal="center" vertical="center" wrapText="1"/>
    </xf>
    <xf numFmtId="0" fontId="2" fillId="16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3" fontId="2" fillId="8" borderId="1" xfId="0" applyNumberFormat="1" applyFont="1" applyFill="1" applyBorder="1" applyAlignment="1">
      <alignment horizontal="center" vertical="center"/>
    </xf>
    <xf numFmtId="3" fontId="2" fillId="11" borderId="1" xfId="0" applyNumberFormat="1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3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3" fontId="2" fillId="10" borderId="1" xfId="0" applyNumberFormat="1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1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left" vertical="center" wrapText="1"/>
    </xf>
    <xf numFmtId="49" fontId="2" fillId="14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60057-FC8E-4905-A626-C90C1A9F7C99}">
  <dimension ref="A1:AA78"/>
  <sheetViews>
    <sheetView tabSelected="1" zoomScaleNormal="100" workbookViewId="0">
      <selection activeCell="L9" sqref="L9"/>
    </sheetView>
  </sheetViews>
  <sheetFormatPr defaultColWidth="14.42578125" defaultRowHeight="21.75" customHeight="1" x14ac:dyDescent="0.25"/>
  <sheetData>
    <row r="1" spans="1:27" ht="21.75" customHeight="1" x14ac:dyDescent="0.25">
      <c r="A1" s="62" t="s">
        <v>48</v>
      </c>
      <c r="B1" s="63"/>
      <c r="C1" s="63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  <c r="P1" s="3"/>
      <c r="Q1" s="3"/>
      <c r="R1" s="3"/>
      <c r="S1" s="3"/>
      <c r="T1" s="3"/>
      <c r="U1" s="3"/>
      <c r="V1" s="3"/>
      <c r="W1" s="3"/>
    </row>
    <row r="2" spans="1:27" ht="21.75" customHeight="1" x14ac:dyDescent="0.25">
      <c r="A2" s="2"/>
      <c r="B2" s="2"/>
      <c r="C2" s="2"/>
      <c r="D2" s="32">
        <v>128</v>
      </c>
      <c r="E2" s="32">
        <v>64</v>
      </c>
      <c r="F2" s="32">
        <v>32</v>
      </c>
      <c r="G2" s="32">
        <v>16</v>
      </c>
      <c r="H2" s="32">
        <v>8</v>
      </c>
      <c r="I2" s="32">
        <v>4</v>
      </c>
      <c r="J2" s="32">
        <v>2</v>
      </c>
      <c r="K2" s="32">
        <v>1</v>
      </c>
      <c r="L2" s="3"/>
      <c r="M2" s="2"/>
      <c r="N2" s="2"/>
      <c r="O2" s="3"/>
      <c r="P2" s="3"/>
      <c r="Q2" s="3"/>
      <c r="R2" s="3"/>
      <c r="S2" s="3"/>
      <c r="T2" s="3"/>
      <c r="U2" s="3"/>
      <c r="V2" s="3"/>
      <c r="W2" s="3"/>
    </row>
    <row r="3" spans="1:27" ht="21.75" customHeight="1" x14ac:dyDescent="0.25">
      <c r="A3" s="38" t="s">
        <v>0</v>
      </c>
      <c r="B3" s="38" t="s">
        <v>2</v>
      </c>
      <c r="C3" s="2"/>
      <c r="D3" s="38">
        <v>0</v>
      </c>
      <c r="E3" s="38">
        <v>0</v>
      </c>
      <c r="F3" s="38">
        <v>0</v>
      </c>
      <c r="G3" s="38">
        <v>0</v>
      </c>
      <c r="H3" s="38">
        <v>0</v>
      </c>
      <c r="I3" s="38">
        <v>0</v>
      </c>
      <c r="J3" s="38">
        <v>0</v>
      </c>
      <c r="K3" s="38">
        <v>0</v>
      </c>
      <c r="L3" s="3"/>
      <c r="M3" s="38" t="s">
        <v>19</v>
      </c>
      <c r="N3" s="38" t="s">
        <v>0</v>
      </c>
      <c r="O3" s="45" t="s">
        <v>20</v>
      </c>
      <c r="P3" s="45" t="s">
        <v>21</v>
      </c>
      <c r="Q3" s="38" t="s">
        <v>22</v>
      </c>
      <c r="R3" s="3"/>
      <c r="S3" s="29" t="s">
        <v>23</v>
      </c>
      <c r="T3" s="29" t="s">
        <v>24</v>
      </c>
      <c r="U3" s="3"/>
      <c r="V3" s="21" t="s">
        <v>23</v>
      </c>
      <c r="W3" s="21" t="s">
        <v>24</v>
      </c>
      <c r="Y3" s="75" t="s">
        <v>40</v>
      </c>
      <c r="Z3" s="75"/>
      <c r="AA3" s="75"/>
    </row>
    <row r="4" spans="1:27" ht="21.75" customHeight="1" x14ac:dyDescent="0.25">
      <c r="A4" s="74" t="s">
        <v>1</v>
      </c>
      <c r="B4" s="32">
        <v>58</v>
      </c>
      <c r="C4" s="2"/>
      <c r="D4" s="32">
        <v>1</v>
      </c>
      <c r="E4" s="32">
        <v>1</v>
      </c>
      <c r="F4" s="2"/>
      <c r="G4" s="2"/>
      <c r="H4" s="2"/>
      <c r="I4" s="2"/>
      <c r="J4" s="2"/>
      <c r="K4" s="2"/>
      <c r="L4" s="3"/>
      <c r="M4" s="32">
        <f>SUM(D2,E2)</f>
        <v>192</v>
      </c>
      <c r="N4" s="32">
        <f>2^2</f>
        <v>4</v>
      </c>
      <c r="O4" s="20">
        <f>256-M4</f>
        <v>64</v>
      </c>
      <c r="P4" s="20">
        <f>24+2</f>
        <v>26</v>
      </c>
      <c r="Q4" s="3"/>
      <c r="R4" s="30" t="s">
        <v>1</v>
      </c>
      <c r="S4" s="30">
        <v>0</v>
      </c>
      <c r="T4" s="31">
        <v>63</v>
      </c>
      <c r="U4" s="2"/>
      <c r="V4" s="20">
        <v>0</v>
      </c>
      <c r="W4" s="20">
        <v>7</v>
      </c>
      <c r="Y4" s="20" t="s">
        <v>12</v>
      </c>
      <c r="Z4" s="37" t="s">
        <v>41</v>
      </c>
      <c r="AA4" s="20">
        <f>2^1-2</f>
        <v>0</v>
      </c>
    </row>
    <row r="5" spans="1:27" ht="21.75" customHeight="1" x14ac:dyDescent="0.25">
      <c r="A5" s="74" t="s">
        <v>3</v>
      </c>
      <c r="B5" s="32">
        <v>35</v>
      </c>
      <c r="C5" s="2"/>
      <c r="D5" s="32">
        <v>1</v>
      </c>
      <c r="E5" s="32">
        <v>1</v>
      </c>
      <c r="F5" s="4"/>
      <c r="G5" s="2"/>
      <c r="H5" s="2"/>
      <c r="I5" s="2"/>
      <c r="J5" s="2"/>
      <c r="K5" s="2"/>
      <c r="L5" s="3"/>
      <c r="M5" s="32">
        <f>SUM(D2,E2)</f>
        <v>192</v>
      </c>
      <c r="N5" s="32">
        <f>2^2</f>
        <v>4</v>
      </c>
      <c r="O5" s="20">
        <f t="shared" ref="O5:O15" si="0">256-M5</f>
        <v>64</v>
      </c>
      <c r="P5" s="20">
        <f>24+2</f>
        <v>26</v>
      </c>
      <c r="Q5" s="2"/>
      <c r="S5" s="20">
        <v>64</v>
      </c>
      <c r="T5" s="20">
        <v>127</v>
      </c>
      <c r="U5" s="3"/>
      <c r="V5" s="20">
        <v>8</v>
      </c>
      <c r="W5" s="20">
        <v>15</v>
      </c>
      <c r="Y5" s="20" t="s">
        <v>13</v>
      </c>
      <c r="Z5" s="37" t="s">
        <v>42</v>
      </c>
      <c r="AA5" s="20">
        <f>2^2-2</f>
        <v>2</v>
      </c>
    </row>
    <row r="6" spans="1:27" ht="21.75" customHeight="1" x14ac:dyDescent="0.25">
      <c r="A6" s="74" t="s">
        <v>4</v>
      </c>
      <c r="B6" s="32">
        <v>28</v>
      </c>
      <c r="C6" s="2"/>
      <c r="D6" s="32">
        <v>1</v>
      </c>
      <c r="E6" s="32">
        <v>1</v>
      </c>
      <c r="F6" s="32">
        <v>1</v>
      </c>
      <c r="G6" s="2"/>
      <c r="H6" s="2"/>
      <c r="I6" s="2"/>
      <c r="J6" s="2"/>
      <c r="K6" s="2"/>
      <c r="L6" s="3"/>
      <c r="M6" s="32">
        <f>SUM(D2,E2,F2)</f>
        <v>224</v>
      </c>
      <c r="N6" s="32">
        <f>2^3</f>
        <v>8</v>
      </c>
      <c r="O6" s="20">
        <f t="shared" si="0"/>
        <v>32</v>
      </c>
      <c r="P6" s="20">
        <f>24+3</f>
        <v>27</v>
      </c>
      <c r="Q6" s="2"/>
      <c r="R6" s="36" t="s">
        <v>3</v>
      </c>
      <c r="S6" s="36">
        <v>128</v>
      </c>
      <c r="T6" s="40">
        <v>191</v>
      </c>
      <c r="U6" s="3"/>
      <c r="V6" s="20">
        <v>16</v>
      </c>
      <c r="W6" s="20">
        <v>23</v>
      </c>
      <c r="Y6" s="20" t="s">
        <v>14</v>
      </c>
      <c r="Z6" s="37" t="s">
        <v>43</v>
      </c>
      <c r="AA6" s="20">
        <f>2^3-2</f>
        <v>6</v>
      </c>
    </row>
    <row r="7" spans="1:27" ht="21.75" customHeight="1" x14ac:dyDescent="0.25">
      <c r="A7" s="74" t="s">
        <v>5</v>
      </c>
      <c r="B7" s="32">
        <v>26</v>
      </c>
      <c r="C7" s="2"/>
      <c r="D7" s="32">
        <v>1</v>
      </c>
      <c r="E7" s="32">
        <v>1</v>
      </c>
      <c r="F7" s="32">
        <v>1</v>
      </c>
      <c r="G7" s="3"/>
      <c r="H7" s="3"/>
      <c r="I7" s="3"/>
      <c r="J7" s="3"/>
      <c r="K7" s="3"/>
      <c r="L7" s="3"/>
      <c r="M7" s="32">
        <f>SUM(D2,E2,F2)</f>
        <v>224</v>
      </c>
      <c r="N7" s="32">
        <f>2^3</f>
        <v>8</v>
      </c>
      <c r="O7" s="20">
        <f t="shared" si="0"/>
        <v>32</v>
      </c>
      <c r="P7" s="20">
        <f t="shared" ref="P7:P8" si="1">24+3</f>
        <v>27</v>
      </c>
      <c r="Q7" s="2"/>
      <c r="S7" s="39">
        <v>192</v>
      </c>
      <c r="T7" s="39">
        <v>255</v>
      </c>
      <c r="U7" s="3"/>
      <c r="V7" s="20">
        <v>24</v>
      </c>
      <c r="W7" s="20">
        <v>31</v>
      </c>
      <c r="Y7" s="20" t="s">
        <v>15</v>
      </c>
      <c r="Z7" s="37" t="s">
        <v>44</v>
      </c>
      <c r="AA7" s="20">
        <f>2^4-2</f>
        <v>14</v>
      </c>
    </row>
    <row r="8" spans="1:27" ht="21.75" customHeight="1" x14ac:dyDescent="0.25">
      <c r="A8" s="74" t="s">
        <v>6</v>
      </c>
      <c r="B8" s="32">
        <v>24</v>
      </c>
      <c r="C8" s="2"/>
      <c r="D8" s="32">
        <v>1</v>
      </c>
      <c r="E8" s="32">
        <v>1</v>
      </c>
      <c r="F8" s="32">
        <v>1</v>
      </c>
      <c r="G8" s="2"/>
      <c r="H8" s="2"/>
      <c r="I8" s="2"/>
      <c r="J8" s="2"/>
      <c r="K8" s="2"/>
      <c r="L8" s="2"/>
      <c r="M8" s="32">
        <f>SUM(D2,E2,F2)</f>
        <v>224</v>
      </c>
      <c r="N8" s="32">
        <f>2^3</f>
        <v>8</v>
      </c>
      <c r="O8" s="20">
        <f t="shared" si="0"/>
        <v>32</v>
      </c>
      <c r="P8" s="20">
        <f t="shared" si="1"/>
        <v>27</v>
      </c>
      <c r="Q8" s="2"/>
      <c r="R8" s="4"/>
      <c r="S8" s="4"/>
      <c r="T8" s="5"/>
      <c r="V8" s="20">
        <v>32</v>
      </c>
      <c r="W8" s="20">
        <v>39</v>
      </c>
      <c r="Y8" s="20" t="s">
        <v>16</v>
      </c>
      <c r="Z8" s="37" t="s">
        <v>45</v>
      </c>
      <c r="AA8" s="20">
        <f>2^5-2</f>
        <v>30</v>
      </c>
    </row>
    <row r="9" spans="1:27" ht="21.75" customHeight="1" x14ac:dyDescent="0.25">
      <c r="A9" s="74" t="s">
        <v>7</v>
      </c>
      <c r="B9" s="32">
        <v>12</v>
      </c>
      <c r="C9" s="2"/>
      <c r="D9" s="32">
        <v>1</v>
      </c>
      <c r="E9" s="32">
        <v>1</v>
      </c>
      <c r="F9" s="32">
        <v>1</v>
      </c>
      <c r="G9" s="32">
        <v>1</v>
      </c>
      <c r="H9" s="2"/>
      <c r="I9" s="2"/>
      <c r="J9" s="2"/>
      <c r="K9" s="2"/>
      <c r="L9" s="2"/>
      <c r="M9" s="32">
        <f>SUM(D2,E2,F2,G2)</f>
        <v>240</v>
      </c>
      <c r="N9" s="32">
        <f>2^4</f>
        <v>16</v>
      </c>
      <c r="O9" s="20">
        <f t="shared" si="0"/>
        <v>16</v>
      </c>
      <c r="P9" s="20">
        <f>24+4</f>
        <v>28</v>
      </c>
      <c r="Q9" s="2"/>
      <c r="R9" s="5"/>
      <c r="S9" s="21" t="s">
        <v>23</v>
      </c>
      <c r="T9" s="21" t="s">
        <v>24</v>
      </c>
      <c r="V9" s="20">
        <v>40</v>
      </c>
      <c r="W9" s="20">
        <v>47</v>
      </c>
      <c r="Y9" s="20" t="s">
        <v>17</v>
      </c>
      <c r="Z9" s="37" t="s">
        <v>46</v>
      </c>
      <c r="AA9" s="20">
        <f>2^6-2</f>
        <v>62</v>
      </c>
    </row>
    <row r="10" spans="1:27" ht="21.75" customHeight="1" x14ac:dyDescent="0.25">
      <c r="A10" s="74" t="s">
        <v>8</v>
      </c>
      <c r="B10" s="32">
        <v>10</v>
      </c>
      <c r="C10" s="2"/>
      <c r="D10" s="32">
        <v>1</v>
      </c>
      <c r="E10" s="32">
        <v>1</v>
      </c>
      <c r="F10" s="32">
        <v>1</v>
      </c>
      <c r="G10" s="32">
        <v>1</v>
      </c>
      <c r="H10" s="2"/>
      <c r="I10" s="2"/>
      <c r="J10" s="2"/>
      <c r="K10" s="2"/>
      <c r="L10" s="2"/>
      <c r="M10" s="32">
        <f>SUM(D2,E2,F2,G2)</f>
        <v>240</v>
      </c>
      <c r="N10" s="32">
        <f>2^4</f>
        <v>16</v>
      </c>
      <c r="O10" s="20">
        <f t="shared" si="0"/>
        <v>16</v>
      </c>
      <c r="P10" s="20">
        <f>24+4</f>
        <v>28</v>
      </c>
      <c r="Q10" s="6"/>
      <c r="S10" s="20">
        <v>0</v>
      </c>
      <c r="T10" s="20">
        <v>15</v>
      </c>
      <c r="V10" s="20">
        <v>48</v>
      </c>
      <c r="W10" s="20">
        <v>55</v>
      </c>
      <c r="Y10" s="20" t="s">
        <v>18</v>
      </c>
      <c r="Z10" s="37" t="s">
        <v>47</v>
      </c>
      <c r="AA10" s="20">
        <f>2^7-2</f>
        <v>126</v>
      </c>
    </row>
    <row r="11" spans="1:27" ht="21.75" customHeight="1" x14ac:dyDescent="0.25">
      <c r="A11" s="74" t="s">
        <v>9</v>
      </c>
      <c r="B11" s="32">
        <v>6</v>
      </c>
      <c r="C11" s="2"/>
      <c r="D11" s="32">
        <v>1</v>
      </c>
      <c r="E11" s="32">
        <v>1</v>
      </c>
      <c r="F11" s="32">
        <v>1</v>
      </c>
      <c r="G11" s="32">
        <v>1</v>
      </c>
      <c r="H11" s="32">
        <v>1</v>
      </c>
      <c r="I11" s="2"/>
      <c r="J11" s="2"/>
      <c r="K11" s="2"/>
      <c r="L11" s="2"/>
      <c r="M11" s="32">
        <f>SUM(D2,E2,F2,G2,H2)</f>
        <v>248</v>
      </c>
      <c r="N11" s="32">
        <f>2^5</f>
        <v>32</v>
      </c>
      <c r="O11" s="20">
        <f t="shared" si="0"/>
        <v>8</v>
      </c>
      <c r="P11" s="20">
        <f>24+5</f>
        <v>29</v>
      </c>
      <c r="Q11" s="6"/>
      <c r="S11" s="20">
        <v>16</v>
      </c>
      <c r="T11" s="20">
        <v>31</v>
      </c>
      <c r="U11" s="5"/>
      <c r="V11" s="20">
        <v>56</v>
      </c>
      <c r="W11" s="20">
        <v>63</v>
      </c>
    </row>
    <row r="12" spans="1:27" ht="21.75" customHeight="1" x14ac:dyDescent="0.25">
      <c r="A12" s="74" t="s">
        <v>10</v>
      </c>
      <c r="B12" s="32">
        <v>5</v>
      </c>
      <c r="C12" s="2"/>
      <c r="D12" s="32">
        <v>1</v>
      </c>
      <c r="E12" s="32">
        <v>1</v>
      </c>
      <c r="F12" s="32">
        <v>1</v>
      </c>
      <c r="G12" s="32">
        <v>1</v>
      </c>
      <c r="H12" s="32">
        <v>1</v>
      </c>
      <c r="I12" s="2"/>
      <c r="J12" s="2"/>
      <c r="K12" s="2"/>
      <c r="L12" s="2"/>
      <c r="M12" s="32">
        <f>SUM(D2,E2,F2,G2,H2)</f>
        <v>248</v>
      </c>
      <c r="N12" s="32">
        <f t="shared" ref="N12:N13" si="2">2^5</f>
        <v>32</v>
      </c>
      <c r="O12" s="20">
        <f t="shared" si="0"/>
        <v>8</v>
      </c>
      <c r="P12" s="20">
        <f t="shared" ref="P12:P13" si="3">24+5</f>
        <v>29</v>
      </c>
      <c r="Q12" s="6"/>
      <c r="S12" s="20">
        <v>32</v>
      </c>
      <c r="T12" s="20">
        <v>47</v>
      </c>
      <c r="U12" s="5"/>
      <c r="V12" s="20">
        <v>64</v>
      </c>
      <c r="W12" s="20">
        <v>71</v>
      </c>
    </row>
    <row r="13" spans="1:27" ht="21.75" customHeight="1" x14ac:dyDescent="0.25">
      <c r="A13" s="74" t="s">
        <v>11</v>
      </c>
      <c r="B13" s="32">
        <v>5</v>
      </c>
      <c r="C13" s="2"/>
      <c r="D13" s="32">
        <v>1</v>
      </c>
      <c r="E13" s="32">
        <v>1</v>
      </c>
      <c r="F13" s="32">
        <v>1</v>
      </c>
      <c r="G13" s="32">
        <v>1</v>
      </c>
      <c r="H13" s="32">
        <v>1</v>
      </c>
      <c r="I13" s="2"/>
      <c r="J13" s="2"/>
      <c r="K13" s="2"/>
      <c r="L13" s="2"/>
      <c r="M13" s="32">
        <f>SUM(D2,E2,F2,G2,H2)</f>
        <v>248</v>
      </c>
      <c r="N13" s="32">
        <f t="shared" si="2"/>
        <v>32</v>
      </c>
      <c r="O13" s="20">
        <f t="shared" si="0"/>
        <v>8</v>
      </c>
      <c r="P13" s="20">
        <f t="shared" si="3"/>
        <v>29</v>
      </c>
      <c r="Q13" s="6"/>
      <c r="S13" s="20">
        <v>48</v>
      </c>
      <c r="T13" s="20">
        <v>63</v>
      </c>
      <c r="U13" s="5"/>
      <c r="V13" s="20">
        <v>72</v>
      </c>
      <c r="W13" s="20">
        <v>79</v>
      </c>
    </row>
    <row r="14" spans="1:27" ht="21.75" customHeight="1" x14ac:dyDescent="0.25">
      <c r="A14" s="74" t="s">
        <v>51</v>
      </c>
      <c r="B14" s="32">
        <v>2</v>
      </c>
      <c r="C14" s="2"/>
      <c r="D14" s="32">
        <v>1</v>
      </c>
      <c r="E14" s="32">
        <v>1</v>
      </c>
      <c r="F14" s="32">
        <v>1</v>
      </c>
      <c r="G14" s="32">
        <v>1</v>
      </c>
      <c r="H14" s="32">
        <v>1</v>
      </c>
      <c r="I14" s="32">
        <v>1</v>
      </c>
      <c r="J14" s="2"/>
      <c r="K14" s="2"/>
      <c r="L14" s="2"/>
      <c r="M14" s="32">
        <f>SUM(D2,E2,F2,G2,H2,I2)</f>
        <v>252</v>
      </c>
      <c r="N14" s="32">
        <f>2^6</f>
        <v>64</v>
      </c>
      <c r="O14" s="20">
        <f>256-M14</f>
        <v>4</v>
      </c>
      <c r="P14" s="20">
        <f>24+6</f>
        <v>30</v>
      </c>
      <c r="Q14" s="6"/>
      <c r="R14" s="5"/>
      <c r="S14" s="20">
        <v>64</v>
      </c>
      <c r="T14" s="20">
        <v>79</v>
      </c>
      <c r="V14" s="20">
        <v>80</v>
      </c>
      <c r="W14" s="20">
        <v>87</v>
      </c>
      <c r="Y14" s="21" t="s">
        <v>23</v>
      </c>
      <c r="Z14" s="21" t="s">
        <v>24</v>
      </c>
    </row>
    <row r="15" spans="1:27" ht="21.75" customHeight="1" x14ac:dyDescent="0.25">
      <c r="A15" s="74" t="s">
        <v>52</v>
      </c>
      <c r="B15" s="32">
        <v>2</v>
      </c>
      <c r="C15" s="2"/>
      <c r="D15" s="32">
        <v>1</v>
      </c>
      <c r="E15" s="32">
        <v>1</v>
      </c>
      <c r="F15" s="32">
        <v>1</v>
      </c>
      <c r="G15" s="32">
        <v>1</v>
      </c>
      <c r="H15" s="32">
        <v>1</v>
      </c>
      <c r="I15" s="32">
        <v>1</v>
      </c>
      <c r="J15" s="2"/>
      <c r="K15" s="2"/>
      <c r="L15" s="2"/>
      <c r="M15" s="32">
        <f>SUM(D2,E2,F2,G2,H2,I2)</f>
        <v>252</v>
      </c>
      <c r="N15" s="32">
        <f>2^6</f>
        <v>64</v>
      </c>
      <c r="O15" s="20">
        <f t="shared" si="0"/>
        <v>4</v>
      </c>
      <c r="P15" s="20">
        <f>24+6</f>
        <v>30</v>
      </c>
      <c r="Q15" s="3"/>
      <c r="S15" s="20">
        <v>80</v>
      </c>
      <c r="T15" s="20">
        <v>95</v>
      </c>
      <c r="V15" s="20">
        <v>88</v>
      </c>
      <c r="W15" s="20">
        <v>95</v>
      </c>
      <c r="Y15" s="20">
        <v>0</v>
      </c>
      <c r="Z15" s="20">
        <v>3</v>
      </c>
    </row>
    <row r="16" spans="1:27" ht="21.75" customHeight="1" x14ac:dyDescent="0.25">
      <c r="A16" s="3"/>
      <c r="B16" s="3"/>
      <c r="C16" s="3"/>
      <c r="D16" s="3"/>
      <c r="E16" s="3"/>
      <c r="I16" s="3"/>
      <c r="J16" s="2"/>
      <c r="K16" s="2"/>
      <c r="L16" s="3"/>
      <c r="M16" s="3"/>
      <c r="N16" s="3"/>
      <c r="O16" s="3"/>
      <c r="P16" s="3"/>
      <c r="Q16" s="3"/>
      <c r="R16" s="5"/>
      <c r="S16" s="20">
        <v>96</v>
      </c>
      <c r="T16" s="20">
        <v>111</v>
      </c>
      <c r="V16" s="20">
        <v>96</v>
      </c>
      <c r="W16" s="20">
        <v>103</v>
      </c>
      <c r="Y16" s="44">
        <v>4</v>
      </c>
      <c r="Z16" s="44">
        <v>7</v>
      </c>
    </row>
    <row r="17" spans="1:26" ht="21.75" customHeight="1" x14ac:dyDescent="0.25">
      <c r="P17" s="3"/>
      <c r="Q17" s="3"/>
      <c r="R17" s="25" t="s">
        <v>7</v>
      </c>
      <c r="S17" s="42">
        <v>112</v>
      </c>
      <c r="T17" s="42">
        <v>127</v>
      </c>
      <c r="U17" s="5"/>
      <c r="V17" s="20">
        <v>104</v>
      </c>
      <c r="W17" s="20">
        <v>111</v>
      </c>
      <c r="Y17" s="20">
        <v>8</v>
      </c>
      <c r="Z17" s="20">
        <v>11</v>
      </c>
    </row>
    <row r="18" spans="1:26" ht="21.75" customHeight="1" x14ac:dyDescent="0.25">
      <c r="P18" s="3"/>
      <c r="Q18" s="3"/>
      <c r="S18" s="39">
        <v>128</v>
      </c>
      <c r="T18" s="39">
        <v>143</v>
      </c>
      <c r="U18" s="3"/>
      <c r="V18" s="20">
        <v>112</v>
      </c>
      <c r="W18" s="20">
        <v>119</v>
      </c>
      <c r="Y18" s="20">
        <v>12</v>
      </c>
      <c r="Z18" s="20">
        <v>15</v>
      </c>
    </row>
    <row r="19" spans="1:26" ht="21.75" customHeight="1" x14ac:dyDescent="0.25">
      <c r="A19" s="3"/>
      <c r="B19" s="73" t="s">
        <v>49</v>
      </c>
      <c r="C19" s="73"/>
      <c r="D19" s="73" t="s">
        <v>19</v>
      </c>
      <c r="E19" s="73"/>
      <c r="F19" s="73" t="s">
        <v>25</v>
      </c>
      <c r="G19" s="73"/>
      <c r="H19" s="73" t="s">
        <v>26</v>
      </c>
      <c r="I19" s="73"/>
      <c r="J19" s="73" t="s">
        <v>27</v>
      </c>
      <c r="K19" s="73"/>
      <c r="L19" s="73" t="s">
        <v>28</v>
      </c>
      <c r="M19" s="73"/>
      <c r="N19" s="73" t="s">
        <v>29</v>
      </c>
      <c r="O19" s="73"/>
      <c r="P19" s="3"/>
      <c r="Q19" s="3"/>
      <c r="S19" s="39">
        <v>144</v>
      </c>
      <c r="T19" s="39">
        <v>159</v>
      </c>
      <c r="U19" s="3"/>
      <c r="V19" s="20">
        <v>120</v>
      </c>
      <c r="W19" s="20">
        <v>127</v>
      </c>
      <c r="Y19" s="44">
        <v>16</v>
      </c>
      <c r="Z19" s="44">
        <v>19</v>
      </c>
    </row>
    <row r="20" spans="1:26" ht="21.75" customHeight="1" x14ac:dyDescent="0.25">
      <c r="A20" s="8" t="s">
        <v>1</v>
      </c>
      <c r="B20" s="51" t="s">
        <v>31</v>
      </c>
      <c r="C20" s="51"/>
      <c r="D20" s="64">
        <v>255255255192</v>
      </c>
      <c r="E20" s="51"/>
      <c r="F20" s="51">
        <v>62</v>
      </c>
      <c r="G20" s="51"/>
      <c r="H20" s="51" t="s">
        <v>30</v>
      </c>
      <c r="I20" s="51"/>
      <c r="J20" s="51" t="s">
        <v>33</v>
      </c>
      <c r="K20" s="51"/>
      <c r="L20" s="51" t="s">
        <v>32</v>
      </c>
      <c r="M20" s="51"/>
      <c r="N20" s="51" t="s">
        <v>34</v>
      </c>
      <c r="O20" s="51"/>
      <c r="P20" s="3"/>
      <c r="Q20" s="3"/>
      <c r="R20" s="5"/>
      <c r="S20" s="20">
        <v>160</v>
      </c>
      <c r="T20" s="20">
        <v>175</v>
      </c>
      <c r="U20" s="3"/>
      <c r="V20" s="20">
        <v>128</v>
      </c>
      <c r="W20" s="20">
        <v>135</v>
      </c>
      <c r="Y20" s="44">
        <v>20</v>
      </c>
      <c r="Z20" s="44">
        <v>23</v>
      </c>
    </row>
    <row r="21" spans="1:26" ht="21.75" customHeight="1" x14ac:dyDescent="0.25">
      <c r="A21" s="9" t="s">
        <v>3</v>
      </c>
      <c r="B21" s="55">
        <v>192168150128</v>
      </c>
      <c r="C21" s="52"/>
      <c r="D21" s="55">
        <v>255255255192</v>
      </c>
      <c r="E21" s="52"/>
      <c r="F21" s="52">
        <v>62</v>
      </c>
      <c r="G21" s="52"/>
      <c r="H21" s="55">
        <v>192168150129</v>
      </c>
      <c r="I21" s="52"/>
      <c r="J21" s="55">
        <v>192168150190</v>
      </c>
      <c r="K21" s="52"/>
      <c r="L21" s="55">
        <v>192168150191</v>
      </c>
      <c r="M21" s="52"/>
      <c r="N21" s="52" t="s">
        <v>34</v>
      </c>
      <c r="O21" s="52"/>
      <c r="P21" s="3"/>
      <c r="Q21" s="3"/>
      <c r="R21" s="5"/>
      <c r="S21" s="20">
        <v>176</v>
      </c>
      <c r="T21" s="20">
        <v>191</v>
      </c>
      <c r="U21" s="3"/>
      <c r="V21" s="20">
        <v>136</v>
      </c>
      <c r="W21" s="20">
        <v>143</v>
      </c>
      <c r="Y21" s="44">
        <v>24</v>
      </c>
      <c r="Z21" s="44">
        <v>27</v>
      </c>
    </row>
    <row r="22" spans="1:26" ht="21.75" customHeight="1" x14ac:dyDescent="0.25">
      <c r="A22" s="10" t="s">
        <v>4</v>
      </c>
      <c r="B22" s="53" t="s">
        <v>55</v>
      </c>
      <c r="C22" s="54"/>
      <c r="D22" s="53">
        <v>255255255224</v>
      </c>
      <c r="E22" s="54"/>
      <c r="F22" s="54">
        <v>30</v>
      </c>
      <c r="G22" s="54"/>
      <c r="H22" s="53" t="s">
        <v>56</v>
      </c>
      <c r="I22" s="54"/>
      <c r="J22" s="53">
        <v>192168150126</v>
      </c>
      <c r="K22" s="54"/>
      <c r="L22" s="53">
        <v>192168150127</v>
      </c>
      <c r="M22" s="54"/>
      <c r="N22" s="54" t="s">
        <v>37</v>
      </c>
      <c r="O22" s="54"/>
      <c r="P22" s="3"/>
      <c r="Q22" s="3"/>
      <c r="R22" s="26" t="s">
        <v>8</v>
      </c>
      <c r="S22" s="43">
        <v>192</v>
      </c>
      <c r="T22" s="43">
        <v>207</v>
      </c>
      <c r="U22" s="3"/>
      <c r="V22" s="20">
        <v>144</v>
      </c>
      <c r="W22" s="20">
        <v>151</v>
      </c>
      <c r="Y22" s="44">
        <v>28</v>
      </c>
      <c r="Z22" s="44">
        <v>31</v>
      </c>
    </row>
    <row r="23" spans="1:26" ht="21.75" customHeight="1" x14ac:dyDescent="0.25">
      <c r="A23" s="11" t="s">
        <v>5</v>
      </c>
      <c r="B23" s="66">
        <v>192168150224</v>
      </c>
      <c r="C23" s="65"/>
      <c r="D23" s="66">
        <v>255255255224</v>
      </c>
      <c r="E23" s="65"/>
      <c r="F23" s="65">
        <v>30</v>
      </c>
      <c r="G23" s="65"/>
      <c r="H23" s="66">
        <v>192168150225</v>
      </c>
      <c r="I23" s="65"/>
      <c r="J23" s="66">
        <v>192168150254</v>
      </c>
      <c r="K23" s="65"/>
      <c r="L23" s="66">
        <v>192168150255</v>
      </c>
      <c r="M23" s="65"/>
      <c r="N23" s="65" t="s">
        <v>37</v>
      </c>
      <c r="O23" s="65"/>
      <c r="P23" s="3"/>
      <c r="Q23" s="3"/>
      <c r="R23" s="5"/>
      <c r="S23" s="20">
        <v>208</v>
      </c>
      <c r="T23" s="20">
        <v>223</v>
      </c>
      <c r="U23" s="3"/>
      <c r="V23" s="20">
        <v>152</v>
      </c>
      <c r="W23" s="20">
        <v>159</v>
      </c>
      <c r="Y23" s="44">
        <v>32</v>
      </c>
      <c r="Z23" s="44">
        <v>35</v>
      </c>
    </row>
    <row r="24" spans="1:26" ht="21.75" customHeight="1" x14ac:dyDescent="0.25">
      <c r="A24" s="12" t="s">
        <v>6</v>
      </c>
      <c r="B24" s="56" t="s">
        <v>35</v>
      </c>
      <c r="C24" s="57"/>
      <c r="D24" s="56">
        <v>255255255224</v>
      </c>
      <c r="E24" s="57"/>
      <c r="F24" s="57">
        <v>30</v>
      </c>
      <c r="G24" s="57"/>
      <c r="H24" s="56" t="s">
        <v>36</v>
      </c>
      <c r="I24" s="57"/>
      <c r="J24" s="56" t="s">
        <v>54</v>
      </c>
      <c r="K24" s="57"/>
      <c r="L24" s="56" t="s">
        <v>53</v>
      </c>
      <c r="M24" s="57"/>
      <c r="N24" s="57" t="s">
        <v>37</v>
      </c>
      <c r="O24" s="57"/>
      <c r="P24" s="3"/>
      <c r="Q24" s="3"/>
      <c r="R24" s="3"/>
      <c r="S24" s="20">
        <v>224</v>
      </c>
      <c r="T24" s="20">
        <v>239</v>
      </c>
      <c r="U24" s="3"/>
      <c r="V24" s="22">
        <v>160</v>
      </c>
      <c r="W24" s="22">
        <v>167</v>
      </c>
      <c r="X24" s="22" t="s">
        <v>9</v>
      </c>
      <c r="Y24" s="44">
        <v>36</v>
      </c>
      <c r="Z24" s="44">
        <v>39</v>
      </c>
    </row>
    <row r="25" spans="1:26" ht="21.75" customHeight="1" x14ac:dyDescent="0.25">
      <c r="A25" s="13" t="s">
        <v>7</v>
      </c>
      <c r="B25" s="60">
        <v>192168150112</v>
      </c>
      <c r="C25" s="59"/>
      <c r="D25" s="60">
        <v>255255255240</v>
      </c>
      <c r="E25" s="59"/>
      <c r="F25" s="59">
        <v>14</v>
      </c>
      <c r="G25" s="59"/>
      <c r="H25" s="60">
        <v>192168150113</v>
      </c>
      <c r="I25" s="59"/>
      <c r="J25" s="60">
        <v>192168150126</v>
      </c>
      <c r="K25" s="59"/>
      <c r="L25" s="60">
        <v>192168150127</v>
      </c>
      <c r="M25" s="59"/>
      <c r="N25" s="59" t="s">
        <v>38</v>
      </c>
      <c r="O25" s="59"/>
      <c r="P25" s="3"/>
      <c r="Q25" s="3"/>
      <c r="S25" s="20">
        <v>240</v>
      </c>
      <c r="T25" s="20">
        <v>255</v>
      </c>
      <c r="U25" s="3"/>
      <c r="V25" s="24">
        <v>168</v>
      </c>
      <c r="W25" s="24">
        <v>175</v>
      </c>
      <c r="X25" s="24" t="s">
        <v>11</v>
      </c>
      <c r="Y25" s="44">
        <v>40</v>
      </c>
      <c r="Z25" s="44">
        <v>43</v>
      </c>
    </row>
    <row r="26" spans="1:26" ht="21.75" customHeight="1" x14ac:dyDescent="0.25">
      <c r="A26" s="14" t="s">
        <v>8</v>
      </c>
      <c r="B26" s="71">
        <v>192168150192</v>
      </c>
      <c r="C26" s="72"/>
      <c r="D26" s="71">
        <v>255255255240</v>
      </c>
      <c r="E26" s="72"/>
      <c r="F26" s="72">
        <v>14</v>
      </c>
      <c r="G26" s="72"/>
      <c r="H26" s="71">
        <v>192168150193</v>
      </c>
      <c r="I26" s="72"/>
      <c r="J26" s="71">
        <v>192168150206</v>
      </c>
      <c r="K26" s="72"/>
      <c r="L26" s="71">
        <v>192168150207</v>
      </c>
      <c r="M26" s="72"/>
      <c r="N26" s="72" t="s">
        <v>38</v>
      </c>
      <c r="O26" s="72"/>
      <c r="P26" s="3"/>
      <c r="Q26" s="3"/>
      <c r="R26" s="3"/>
      <c r="S26" s="6"/>
      <c r="T26" s="6"/>
      <c r="U26" s="3"/>
      <c r="V26" s="23">
        <v>176</v>
      </c>
      <c r="W26" s="23">
        <v>183</v>
      </c>
      <c r="X26" s="23" t="s">
        <v>10</v>
      </c>
      <c r="Y26" s="44">
        <v>44</v>
      </c>
      <c r="Z26" s="44">
        <v>47</v>
      </c>
    </row>
    <row r="27" spans="1:26" ht="21.75" customHeight="1" x14ac:dyDescent="0.25">
      <c r="A27" s="15" t="s">
        <v>9</v>
      </c>
      <c r="B27" s="69">
        <v>192168150160</v>
      </c>
      <c r="C27" s="70"/>
      <c r="D27" s="69">
        <v>255255255248</v>
      </c>
      <c r="E27" s="70"/>
      <c r="F27" s="70">
        <v>6</v>
      </c>
      <c r="G27" s="70"/>
      <c r="H27" s="69">
        <v>192168150161</v>
      </c>
      <c r="I27" s="70"/>
      <c r="J27" s="69">
        <v>192168150166</v>
      </c>
      <c r="K27" s="70"/>
      <c r="L27" s="69">
        <v>192168150167</v>
      </c>
      <c r="M27" s="70"/>
      <c r="N27" s="70" t="s">
        <v>39</v>
      </c>
      <c r="O27" s="70"/>
      <c r="P27" s="3"/>
      <c r="Q27" s="3"/>
      <c r="R27" s="3"/>
      <c r="S27" s="21" t="s">
        <v>23</v>
      </c>
      <c r="T27" s="21" t="s">
        <v>24</v>
      </c>
      <c r="U27" s="3"/>
      <c r="V27" s="20">
        <v>184</v>
      </c>
      <c r="W27" s="20">
        <v>191</v>
      </c>
      <c r="Y27" s="44">
        <v>48</v>
      </c>
      <c r="Z27" s="44">
        <v>51</v>
      </c>
    </row>
    <row r="28" spans="1:26" ht="21.75" customHeight="1" x14ac:dyDescent="0.25">
      <c r="A28" s="16" t="s">
        <v>10</v>
      </c>
      <c r="B28" s="67">
        <v>192168150176</v>
      </c>
      <c r="C28" s="68"/>
      <c r="D28" s="67">
        <v>255255255248</v>
      </c>
      <c r="E28" s="68"/>
      <c r="F28" s="68">
        <v>6</v>
      </c>
      <c r="G28" s="68"/>
      <c r="H28" s="67">
        <v>192168150177</v>
      </c>
      <c r="I28" s="68"/>
      <c r="J28" s="67">
        <v>192168150182</v>
      </c>
      <c r="K28" s="68"/>
      <c r="L28" s="67">
        <v>192168150183</v>
      </c>
      <c r="M28" s="68"/>
      <c r="N28" s="68" t="s">
        <v>39</v>
      </c>
      <c r="O28" s="68"/>
      <c r="P28" s="3"/>
      <c r="Q28" s="3"/>
      <c r="R28" s="3"/>
      <c r="S28" s="20">
        <v>0</v>
      </c>
      <c r="T28" s="20">
        <v>31</v>
      </c>
      <c r="U28" s="3"/>
      <c r="V28" s="20">
        <v>192</v>
      </c>
      <c r="W28" s="20">
        <v>199</v>
      </c>
      <c r="Y28" s="44">
        <v>52</v>
      </c>
      <c r="Z28" s="44">
        <v>55</v>
      </c>
    </row>
    <row r="29" spans="1:26" ht="21.75" customHeight="1" x14ac:dyDescent="0.25">
      <c r="A29" s="17" t="s">
        <v>11</v>
      </c>
      <c r="B29" s="61">
        <v>192168150168</v>
      </c>
      <c r="C29" s="58"/>
      <c r="D29" s="61">
        <v>255255255248</v>
      </c>
      <c r="E29" s="58"/>
      <c r="F29" s="58">
        <v>6</v>
      </c>
      <c r="G29" s="58"/>
      <c r="H29" s="61">
        <v>192168150169</v>
      </c>
      <c r="I29" s="58"/>
      <c r="J29" s="61">
        <v>192168150174</v>
      </c>
      <c r="K29" s="58"/>
      <c r="L29" s="61">
        <v>192168150175</v>
      </c>
      <c r="M29" s="58"/>
      <c r="N29" s="58" t="s">
        <v>39</v>
      </c>
      <c r="O29" s="58"/>
      <c r="P29" s="3"/>
      <c r="Q29" s="3"/>
      <c r="R29" s="3"/>
      <c r="S29" s="20">
        <v>32</v>
      </c>
      <c r="T29" s="20">
        <v>63</v>
      </c>
      <c r="U29" s="3"/>
      <c r="V29" s="20">
        <v>200</v>
      </c>
      <c r="W29" s="20">
        <v>207</v>
      </c>
      <c r="Y29" s="44">
        <v>56</v>
      </c>
      <c r="Z29" s="44">
        <v>59</v>
      </c>
    </row>
    <row r="30" spans="1:26" ht="21.75" customHeight="1" x14ac:dyDescent="0.25">
      <c r="A30" s="18" t="s">
        <v>51</v>
      </c>
      <c r="B30" s="48">
        <v>192168150184</v>
      </c>
      <c r="C30" s="46"/>
      <c r="D30" s="48">
        <v>255255255252</v>
      </c>
      <c r="E30" s="49"/>
      <c r="F30" s="46">
        <v>2</v>
      </c>
      <c r="G30" s="46"/>
      <c r="H30" s="48">
        <v>192168150185</v>
      </c>
      <c r="I30" s="46"/>
      <c r="J30" s="48">
        <v>192168150186</v>
      </c>
      <c r="K30" s="46"/>
      <c r="L30" s="48">
        <v>192168150187</v>
      </c>
      <c r="M30" s="46"/>
      <c r="N30" s="46" t="s">
        <v>50</v>
      </c>
      <c r="O30" s="46"/>
      <c r="P30" s="3"/>
      <c r="R30" s="35" t="s">
        <v>6</v>
      </c>
      <c r="S30" s="28">
        <v>64</v>
      </c>
      <c r="T30" s="28">
        <v>95</v>
      </c>
      <c r="U30" s="3"/>
      <c r="V30" s="20">
        <v>208</v>
      </c>
      <c r="W30" s="20">
        <v>215</v>
      </c>
      <c r="Y30" s="44">
        <v>60</v>
      </c>
      <c r="Z30" s="44">
        <v>63</v>
      </c>
    </row>
    <row r="31" spans="1:26" ht="21.75" customHeight="1" x14ac:dyDescent="0.25">
      <c r="A31" s="19" t="s">
        <v>52</v>
      </c>
      <c r="B31" s="50">
        <v>192168150208</v>
      </c>
      <c r="C31" s="47"/>
      <c r="D31" s="50">
        <v>255255255252</v>
      </c>
      <c r="E31" s="47"/>
      <c r="F31" s="47">
        <v>2</v>
      </c>
      <c r="G31" s="47"/>
      <c r="H31" s="50">
        <v>192168150209</v>
      </c>
      <c r="I31" s="47"/>
      <c r="J31" s="50">
        <v>192168150210</v>
      </c>
      <c r="K31" s="47"/>
      <c r="L31" s="50">
        <v>192168150211</v>
      </c>
      <c r="M31" s="47"/>
      <c r="N31" s="47" t="s">
        <v>50</v>
      </c>
      <c r="O31" s="47"/>
      <c r="P31" s="3"/>
      <c r="R31" s="33" t="s">
        <v>4</v>
      </c>
      <c r="S31" s="27">
        <v>96</v>
      </c>
      <c r="T31" s="27">
        <v>127</v>
      </c>
      <c r="U31" s="3"/>
      <c r="V31" s="20">
        <v>216</v>
      </c>
      <c r="W31" s="20">
        <v>223</v>
      </c>
      <c r="Y31" s="44">
        <v>64</v>
      </c>
      <c r="Z31" s="44">
        <v>67</v>
      </c>
    </row>
    <row r="32" spans="1:26" ht="21.75" customHeight="1" x14ac:dyDescent="0.25">
      <c r="P32" s="3"/>
      <c r="R32" s="3"/>
      <c r="S32" s="20">
        <v>128</v>
      </c>
      <c r="T32" s="20">
        <v>159</v>
      </c>
      <c r="U32" s="3"/>
      <c r="V32" s="20">
        <v>224</v>
      </c>
      <c r="W32" s="20">
        <v>231</v>
      </c>
      <c r="Y32" s="44">
        <v>68</v>
      </c>
      <c r="Z32" s="44">
        <v>71</v>
      </c>
    </row>
    <row r="33" spans="5:26" ht="21.75" customHeight="1" x14ac:dyDescent="0.25">
      <c r="P33" s="3"/>
      <c r="R33" s="3"/>
      <c r="S33" s="20">
        <v>160</v>
      </c>
      <c r="T33" s="20">
        <v>191</v>
      </c>
      <c r="U33" s="3"/>
      <c r="V33" s="20">
        <v>232</v>
      </c>
      <c r="W33" s="20">
        <v>239</v>
      </c>
      <c r="Y33" s="44">
        <v>72</v>
      </c>
      <c r="Z33" s="44">
        <v>75</v>
      </c>
    </row>
    <row r="34" spans="5:26" ht="21.75" customHeight="1" x14ac:dyDescent="0.25">
      <c r="S34" s="39">
        <v>192</v>
      </c>
      <c r="T34" s="39">
        <v>223</v>
      </c>
      <c r="U34" s="3"/>
      <c r="V34" s="20">
        <v>240</v>
      </c>
      <c r="W34" s="20">
        <v>247</v>
      </c>
      <c r="Y34" s="44">
        <v>76</v>
      </c>
      <c r="Z34" s="44">
        <v>79</v>
      </c>
    </row>
    <row r="35" spans="5:26" ht="21.75" customHeight="1" x14ac:dyDescent="0.25">
      <c r="R35" s="34" t="s">
        <v>5</v>
      </c>
      <c r="S35" s="41">
        <v>224</v>
      </c>
      <c r="T35" s="41">
        <v>255</v>
      </c>
      <c r="U35" s="3"/>
      <c r="V35" s="20">
        <v>248</v>
      </c>
      <c r="W35" s="20">
        <v>255</v>
      </c>
      <c r="Y35" s="44">
        <v>80</v>
      </c>
      <c r="Z35" s="44">
        <v>83</v>
      </c>
    </row>
    <row r="36" spans="5:26" ht="21.75" customHeight="1" x14ac:dyDescent="0.25">
      <c r="U36" s="3"/>
      <c r="Y36" s="44">
        <v>84</v>
      </c>
      <c r="Z36" s="44">
        <v>87</v>
      </c>
    </row>
    <row r="37" spans="5:26" ht="21.75" customHeight="1" x14ac:dyDescent="0.25">
      <c r="U37" s="3"/>
      <c r="Y37" s="44">
        <v>88</v>
      </c>
      <c r="Z37" s="44">
        <v>91</v>
      </c>
    </row>
    <row r="38" spans="5:26" ht="21.75" customHeight="1" x14ac:dyDescent="0.25">
      <c r="U38" s="3"/>
      <c r="Y38" s="44">
        <v>92</v>
      </c>
      <c r="Z38" s="44">
        <v>95</v>
      </c>
    </row>
    <row r="39" spans="5:26" ht="21.75" customHeight="1" x14ac:dyDescent="0.25">
      <c r="U39" s="3"/>
      <c r="Y39" s="44">
        <v>96</v>
      </c>
      <c r="Z39" s="44">
        <v>99</v>
      </c>
    </row>
    <row r="40" spans="5:26" ht="21.75" customHeight="1" x14ac:dyDescent="0.25">
      <c r="U40" s="3"/>
      <c r="Y40" s="44">
        <v>100</v>
      </c>
      <c r="Z40" s="44">
        <v>103</v>
      </c>
    </row>
    <row r="41" spans="5:26" ht="21.75" customHeight="1" x14ac:dyDescent="0.25">
      <c r="U41" s="3"/>
      <c r="Y41" s="44">
        <v>104</v>
      </c>
      <c r="Z41" s="44">
        <v>107</v>
      </c>
    </row>
    <row r="42" spans="5:26" ht="21.75" customHeight="1" x14ac:dyDescent="0.25">
      <c r="P42" s="3"/>
      <c r="U42" s="3"/>
      <c r="Y42" s="44">
        <v>108</v>
      </c>
      <c r="Z42" s="44">
        <v>111</v>
      </c>
    </row>
    <row r="43" spans="5:26" ht="21.75" customHeight="1" x14ac:dyDescent="0.25">
      <c r="P43" s="3"/>
      <c r="T43" s="3"/>
      <c r="U43" s="3"/>
      <c r="Y43" s="44">
        <v>112</v>
      </c>
      <c r="Z43" s="44">
        <v>115</v>
      </c>
    </row>
    <row r="44" spans="5:26" ht="21.75" customHeight="1" x14ac:dyDescent="0.25">
      <c r="P44" s="3"/>
      <c r="T44" s="3"/>
      <c r="U44" s="3"/>
      <c r="Y44" s="44">
        <v>116</v>
      </c>
      <c r="Z44" s="44">
        <v>119</v>
      </c>
    </row>
    <row r="45" spans="5:26" ht="21.75" customHeight="1" x14ac:dyDescent="0.25">
      <c r="P45" s="3"/>
      <c r="T45" s="3"/>
      <c r="U45" s="3"/>
      <c r="Y45" s="44">
        <v>120</v>
      </c>
      <c r="Z45" s="44">
        <v>123</v>
      </c>
    </row>
    <row r="46" spans="5:26" ht="21.75" customHeight="1" x14ac:dyDescent="0.25">
      <c r="E46" s="2"/>
      <c r="V46" s="1"/>
      <c r="W46" s="1"/>
      <c r="Y46" s="44">
        <v>124</v>
      </c>
      <c r="Z46" s="44">
        <v>127</v>
      </c>
    </row>
    <row r="47" spans="5:26" ht="21.75" customHeight="1" x14ac:dyDescent="0.25">
      <c r="E47" s="2"/>
      <c r="V47" s="1"/>
      <c r="W47" s="1"/>
      <c r="Y47" s="44">
        <v>128</v>
      </c>
      <c r="Z47" s="44">
        <v>131</v>
      </c>
    </row>
    <row r="48" spans="5:26" ht="21.75" customHeight="1" x14ac:dyDescent="0.25">
      <c r="E48" s="2"/>
      <c r="O48" s="7"/>
      <c r="V48" s="1"/>
      <c r="W48" s="1"/>
      <c r="Y48" s="44">
        <v>132</v>
      </c>
      <c r="Z48" s="44">
        <v>135</v>
      </c>
    </row>
    <row r="49" spans="17:27" ht="21.75" customHeight="1" x14ac:dyDescent="0.25">
      <c r="V49" s="1"/>
      <c r="W49" s="1"/>
      <c r="Y49" s="44">
        <v>136</v>
      </c>
      <c r="Z49" s="44">
        <v>139</v>
      </c>
    </row>
    <row r="50" spans="17:27" ht="21.75" customHeight="1" x14ac:dyDescent="0.25">
      <c r="Y50" s="44">
        <v>140</v>
      </c>
      <c r="Z50" s="44">
        <v>143</v>
      </c>
    </row>
    <row r="51" spans="17:27" ht="21.75" customHeight="1" x14ac:dyDescent="0.25">
      <c r="Y51" s="44">
        <v>144</v>
      </c>
      <c r="Z51" s="44">
        <v>147</v>
      </c>
    </row>
    <row r="52" spans="17:27" ht="21.75" customHeight="1" x14ac:dyDescent="0.25">
      <c r="Y52" s="44">
        <v>148</v>
      </c>
      <c r="Z52" s="44">
        <v>151</v>
      </c>
    </row>
    <row r="53" spans="17:27" ht="21.75" customHeight="1" x14ac:dyDescent="0.25">
      <c r="V53" s="1"/>
      <c r="W53" s="1"/>
      <c r="Y53" s="44">
        <v>152</v>
      </c>
      <c r="Z53" s="44">
        <v>155</v>
      </c>
    </row>
    <row r="54" spans="17:27" ht="21.75" customHeight="1" x14ac:dyDescent="0.25">
      <c r="V54" s="1"/>
      <c r="W54" s="1"/>
      <c r="Y54" s="44">
        <v>156</v>
      </c>
      <c r="Z54" s="44">
        <v>159</v>
      </c>
    </row>
    <row r="55" spans="17:27" ht="21.75" customHeight="1" x14ac:dyDescent="0.25">
      <c r="R55" s="1"/>
      <c r="S55" s="1"/>
      <c r="T55" s="1"/>
      <c r="Y55" s="44">
        <v>160</v>
      </c>
      <c r="Z55" s="44">
        <v>163</v>
      </c>
    </row>
    <row r="56" spans="17:27" ht="21.75" customHeight="1" x14ac:dyDescent="0.25">
      <c r="R56" s="1"/>
      <c r="S56" s="1"/>
      <c r="T56" s="1"/>
      <c r="Y56" s="44">
        <v>164</v>
      </c>
      <c r="Z56" s="44">
        <v>167</v>
      </c>
    </row>
    <row r="57" spans="17:27" ht="21.75" customHeight="1" x14ac:dyDescent="0.25">
      <c r="R57" s="1"/>
      <c r="S57" s="1"/>
      <c r="T57" s="1"/>
      <c r="Y57" s="44">
        <v>168</v>
      </c>
      <c r="Z57" s="44">
        <v>171</v>
      </c>
    </row>
    <row r="58" spans="17:27" ht="21.75" customHeight="1" x14ac:dyDescent="0.25">
      <c r="Q58" s="1"/>
      <c r="R58" s="1"/>
      <c r="Y58" s="44">
        <v>172</v>
      </c>
      <c r="Z58" s="44">
        <v>175</v>
      </c>
    </row>
    <row r="59" spans="17:27" ht="21.75" customHeight="1" x14ac:dyDescent="0.25">
      <c r="Q59" s="1"/>
      <c r="R59" s="1"/>
      <c r="Y59" s="44">
        <v>176</v>
      </c>
      <c r="Z59" s="44">
        <v>179</v>
      </c>
    </row>
    <row r="60" spans="17:27" ht="21.75" customHeight="1" x14ac:dyDescent="0.25">
      <c r="Q60" s="1"/>
      <c r="Y60" s="44">
        <v>180</v>
      </c>
      <c r="Z60" s="44">
        <v>183</v>
      </c>
    </row>
    <row r="61" spans="17:27" ht="21.75" customHeight="1" x14ac:dyDescent="0.25">
      <c r="Q61" s="1"/>
      <c r="Y61" s="44">
        <v>184</v>
      </c>
      <c r="Z61" s="44">
        <v>187</v>
      </c>
      <c r="AA61" s="44" t="s">
        <v>51</v>
      </c>
    </row>
    <row r="62" spans="17:27" ht="21.75" customHeight="1" x14ac:dyDescent="0.25">
      <c r="Q62" s="1"/>
      <c r="R62" s="1"/>
      <c r="Y62" s="44">
        <v>188</v>
      </c>
      <c r="Z62" s="44">
        <v>191</v>
      </c>
    </row>
    <row r="63" spans="17:27" ht="21.75" customHeight="1" x14ac:dyDescent="0.25">
      <c r="R63" s="1"/>
      <c r="Y63" s="44">
        <v>192</v>
      </c>
      <c r="Z63" s="44">
        <v>195</v>
      </c>
    </row>
    <row r="64" spans="17:27" ht="21.75" customHeight="1" x14ac:dyDescent="0.25">
      <c r="Y64" s="44">
        <v>196</v>
      </c>
      <c r="Z64" s="44">
        <v>199</v>
      </c>
    </row>
    <row r="65" spans="19:27" ht="21.75" customHeight="1" x14ac:dyDescent="0.25">
      <c r="S65" s="1"/>
      <c r="Y65" s="44">
        <v>200</v>
      </c>
      <c r="Z65" s="44">
        <v>203</v>
      </c>
    </row>
    <row r="66" spans="19:27" ht="21.75" customHeight="1" x14ac:dyDescent="0.25">
      <c r="S66" s="1"/>
      <c r="Y66" s="44">
        <v>204</v>
      </c>
      <c r="Z66" s="44">
        <v>207</v>
      </c>
    </row>
    <row r="67" spans="19:27" ht="21.75" customHeight="1" x14ac:dyDescent="0.25">
      <c r="Y67" s="45">
        <v>208</v>
      </c>
      <c r="Z67" s="45">
        <v>211</v>
      </c>
      <c r="AA67" s="45" t="s">
        <v>52</v>
      </c>
    </row>
    <row r="68" spans="19:27" ht="21.75" customHeight="1" x14ac:dyDescent="0.25">
      <c r="Y68" s="44">
        <v>212</v>
      </c>
      <c r="Z68" s="44">
        <v>215</v>
      </c>
    </row>
    <row r="69" spans="19:27" ht="21.75" customHeight="1" x14ac:dyDescent="0.25">
      <c r="Y69" s="44">
        <v>216</v>
      </c>
      <c r="Z69" s="44">
        <v>219</v>
      </c>
    </row>
    <row r="70" spans="19:27" ht="21.75" customHeight="1" x14ac:dyDescent="0.25">
      <c r="Y70" s="44">
        <v>220</v>
      </c>
      <c r="Z70" s="44">
        <v>223</v>
      </c>
    </row>
    <row r="71" spans="19:27" ht="21.75" customHeight="1" x14ac:dyDescent="0.25">
      <c r="Y71" s="44">
        <v>224</v>
      </c>
      <c r="Z71" s="44">
        <v>227</v>
      </c>
    </row>
    <row r="72" spans="19:27" ht="21.75" customHeight="1" x14ac:dyDescent="0.25">
      <c r="Y72" s="44">
        <v>228</v>
      </c>
      <c r="Z72" s="44">
        <v>231</v>
      </c>
    </row>
    <row r="73" spans="19:27" ht="21.75" customHeight="1" x14ac:dyDescent="0.25">
      <c r="Y73" s="44">
        <v>232</v>
      </c>
      <c r="Z73" s="44">
        <v>235</v>
      </c>
    </row>
    <row r="74" spans="19:27" ht="21.75" customHeight="1" x14ac:dyDescent="0.25">
      <c r="Y74" s="44">
        <v>236</v>
      </c>
      <c r="Z74" s="44">
        <v>239</v>
      </c>
    </row>
    <row r="75" spans="19:27" ht="21.75" customHeight="1" x14ac:dyDescent="0.25">
      <c r="Y75" s="44">
        <v>240</v>
      </c>
      <c r="Z75" s="44">
        <v>243</v>
      </c>
    </row>
    <row r="76" spans="19:27" ht="21.75" customHeight="1" x14ac:dyDescent="0.25">
      <c r="Y76" s="44">
        <v>244</v>
      </c>
      <c r="Z76" s="44">
        <v>247</v>
      </c>
    </row>
    <row r="77" spans="19:27" ht="21.75" customHeight="1" x14ac:dyDescent="0.25">
      <c r="Y77" s="44">
        <v>248</v>
      </c>
      <c r="Z77" s="44">
        <v>251</v>
      </c>
    </row>
    <row r="78" spans="19:27" ht="21.75" customHeight="1" x14ac:dyDescent="0.25">
      <c r="Y78" s="44">
        <v>252</v>
      </c>
      <c r="Z78" s="44">
        <v>255</v>
      </c>
    </row>
  </sheetData>
  <mergeCells count="93">
    <mergeCell ref="H29:I29"/>
    <mergeCell ref="L29:M29"/>
    <mergeCell ref="N26:O26"/>
    <mergeCell ref="N27:O27"/>
    <mergeCell ref="N28:O28"/>
    <mergeCell ref="L28:M28"/>
    <mergeCell ref="L27:M27"/>
    <mergeCell ref="L26:M26"/>
    <mergeCell ref="H25:I25"/>
    <mergeCell ref="J25:K25"/>
    <mergeCell ref="D26:E26"/>
    <mergeCell ref="F26:G26"/>
    <mergeCell ref="H26:I26"/>
    <mergeCell ref="J26:K26"/>
    <mergeCell ref="J27:K27"/>
    <mergeCell ref="J28:K28"/>
    <mergeCell ref="D27:E27"/>
    <mergeCell ref="F27:G27"/>
    <mergeCell ref="H27:I27"/>
    <mergeCell ref="H28:I28"/>
    <mergeCell ref="B28:C28"/>
    <mergeCell ref="B29:C29"/>
    <mergeCell ref="D29:E29"/>
    <mergeCell ref="F29:G29"/>
    <mergeCell ref="B24:C24"/>
    <mergeCell ref="D24:E24"/>
    <mergeCell ref="F24:G24"/>
    <mergeCell ref="B25:C25"/>
    <mergeCell ref="B27:C27"/>
    <mergeCell ref="B26:C26"/>
    <mergeCell ref="F28:G28"/>
    <mergeCell ref="D28:E28"/>
    <mergeCell ref="D25:E25"/>
    <mergeCell ref="F25:G25"/>
    <mergeCell ref="H24:I24"/>
    <mergeCell ref="J24:K24"/>
    <mergeCell ref="N19:O19"/>
    <mergeCell ref="B20:C20"/>
    <mergeCell ref="D20:E20"/>
    <mergeCell ref="F20:G20"/>
    <mergeCell ref="N23:O23"/>
    <mergeCell ref="B23:C23"/>
    <mergeCell ref="D23:E23"/>
    <mergeCell ref="F23:G23"/>
    <mergeCell ref="H23:I23"/>
    <mergeCell ref="J23:K23"/>
    <mergeCell ref="L23:M23"/>
    <mergeCell ref="B21:C21"/>
    <mergeCell ref="D21:E21"/>
    <mergeCell ref="F21:G21"/>
    <mergeCell ref="H21:I21"/>
    <mergeCell ref="J21:K21"/>
    <mergeCell ref="B22:C22"/>
    <mergeCell ref="D22:E22"/>
    <mergeCell ref="F22:G22"/>
    <mergeCell ref="H22:I22"/>
    <mergeCell ref="J22:K22"/>
    <mergeCell ref="J19:K19"/>
    <mergeCell ref="L19:M19"/>
    <mergeCell ref="A1:C1"/>
    <mergeCell ref="Y3:AA3"/>
    <mergeCell ref="B19:C19"/>
    <mergeCell ref="D19:E19"/>
    <mergeCell ref="F19:G19"/>
    <mergeCell ref="H19:I19"/>
    <mergeCell ref="N30:O30"/>
    <mergeCell ref="N31:O31"/>
    <mergeCell ref="H20:I20"/>
    <mergeCell ref="J20:K20"/>
    <mergeCell ref="L20:M20"/>
    <mergeCell ref="N20:O20"/>
    <mergeCell ref="N21:O21"/>
    <mergeCell ref="L22:M22"/>
    <mergeCell ref="N22:O22"/>
    <mergeCell ref="L21:M21"/>
    <mergeCell ref="L24:M24"/>
    <mergeCell ref="N24:O24"/>
    <mergeCell ref="N29:O29"/>
    <mergeCell ref="N25:O25"/>
    <mergeCell ref="L25:M25"/>
    <mergeCell ref="J29:K29"/>
    <mergeCell ref="H30:I30"/>
    <mergeCell ref="H31:I31"/>
    <mergeCell ref="J30:K30"/>
    <mergeCell ref="J31:K31"/>
    <mergeCell ref="L30:M30"/>
    <mergeCell ref="L31:M31"/>
    <mergeCell ref="B30:C30"/>
    <mergeCell ref="B31:C31"/>
    <mergeCell ref="D30:E30"/>
    <mergeCell ref="D31:E31"/>
    <mergeCell ref="F30:G30"/>
    <mergeCell ref="F31:G31"/>
  </mergeCells>
  <phoneticPr fontId="1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Marcus</dc:creator>
  <cp:lastModifiedBy>Marcus</cp:lastModifiedBy>
  <dcterms:created xsi:type="dcterms:W3CDTF">2025-11-10T03:45:36Z</dcterms:created>
  <dcterms:modified xsi:type="dcterms:W3CDTF">2025-11-15T02:52:42Z</dcterms:modified>
</cp:coreProperties>
</file>